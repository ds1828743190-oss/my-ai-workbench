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" sheetId="1" state="visible" r:id="rId1"/>
    <sheet name="交易记录" sheetId="2" state="visible" r:id="rId2"/>
    <sheet name="净值月度" sheetId="3" state="visible" r:id="rId3"/>
    <sheet name="策略卡" sheetId="4" state="visible" r:id="rId4"/>
  </sheets>
  <definedNames>
    <definedName name="_xlnm._FilterDatabase" localSheetId="1" hidden="1">'交易记录'!$A$1:$K$13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¥#,##0.00"/>
    <numFmt numFmtId="166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3864"/>
      <sz val="14"/>
    </font>
    <font>
      <name val="微软雅黑"/>
      <b val="1"/>
      <color rgb="002F5597"/>
      <sz val="11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right" vertical="center"/>
    </xf>
    <xf numFmtId="165" fontId="1" fillId="5" borderId="1" applyAlignment="1" pivotButton="0" quotePrefix="0" xfId="0">
      <alignment horizontal="right" vertical="center"/>
    </xf>
    <xf numFmtId="10" fontId="1" fillId="5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color rgb="00C00000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0" customWidth="1" min="10" max="10"/>
    <col width="18" customWidth="1" min="11" max="11"/>
  </cols>
  <sheetData>
    <row r="1" ht="28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买入均价(元)</t>
        </is>
      </c>
      <c r="E1" s="1" t="inlineStr">
        <is>
          <t>持仓份额</t>
        </is>
      </c>
      <c r="F1" s="1" t="inlineStr">
        <is>
          <t>成本金额(元)</t>
        </is>
      </c>
      <c r="G1" s="1" t="inlineStr">
        <is>
          <t>最新价(元)</t>
        </is>
      </c>
      <c r="H1" s="1" t="inlineStr">
        <is>
          <t>最新市值(元)</t>
        </is>
      </c>
      <c r="I1" s="1" t="inlineStr">
        <is>
          <t>浮动盈亏(元)</t>
        </is>
      </c>
      <c r="J1" s="1" t="inlineStr">
        <is>
          <t>盈亏率</t>
        </is>
      </c>
      <c r="K1" s="1" t="inlineStr">
        <is>
          <t>备注</t>
        </is>
      </c>
    </row>
    <row r="2">
      <c r="A2" s="2" t="n"/>
      <c r="B2" s="2" t="n"/>
      <c r="C2" s="2" t="n"/>
      <c r="D2" s="3" t="n"/>
      <c r="E2" s="4" t="n"/>
      <c r="F2" s="5">
        <f>IF(OR(D2="",E2=""),"",D2*E2)</f>
        <v/>
      </c>
      <c r="G2" s="3" t="n"/>
      <c r="H2" s="5">
        <f>IF(OR(E2="",G2=""),"",E2*G2)</f>
        <v/>
      </c>
      <c r="I2" s="5">
        <f>IF(OR(F2="",H2=""),"",H2-F2)</f>
        <v/>
      </c>
      <c r="J2" s="6">
        <f>IF(OR(F2="",F2=0,H2=""),"",I2/F2)</f>
        <v/>
      </c>
      <c r="K2" s="2" t="n"/>
    </row>
    <row r="3">
      <c r="A3" s="2" t="n"/>
      <c r="B3" s="2" t="n"/>
      <c r="C3" s="2" t="n"/>
      <c r="D3" s="3" t="n"/>
      <c r="E3" s="4" t="n"/>
      <c r="F3" s="5">
        <f>IF(OR(D3="",E3=""),"",D3*E3)</f>
        <v/>
      </c>
      <c r="G3" s="3" t="n"/>
      <c r="H3" s="5">
        <f>IF(OR(E3="",G3=""),"",E3*G3)</f>
        <v/>
      </c>
      <c r="I3" s="5">
        <f>IF(OR(F3="",H3=""),"",H3-F3)</f>
        <v/>
      </c>
      <c r="J3" s="6">
        <f>IF(OR(F3="",F3=0,H3=""),"",I3/F3)</f>
        <v/>
      </c>
      <c r="K3" s="2" t="n"/>
    </row>
    <row r="4">
      <c r="A4" s="2" t="n"/>
      <c r="B4" s="2" t="n"/>
      <c r="C4" s="2" t="n"/>
      <c r="D4" s="3" t="n"/>
      <c r="E4" s="4" t="n"/>
      <c r="F4" s="5">
        <f>IF(OR(D4="",E4=""),"",D4*E4)</f>
        <v/>
      </c>
      <c r="G4" s="3" t="n"/>
      <c r="H4" s="5">
        <f>IF(OR(E4="",G4=""),"",E4*G4)</f>
        <v/>
      </c>
      <c r="I4" s="5">
        <f>IF(OR(F4="",H4=""),"",H4-F4)</f>
        <v/>
      </c>
      <c r="J4" s="6">
        <f>IF(OR(F4="",F4=0,H4=""),"",I4/F4)</f>
        <v/>
      </c>
      <c r="K4" s="2" t="n"/>
    </row>
    <row r="5">
      <c r="A5" s="2" t="n"/>
      <c r="B5" s="2" t="n"/>
      <c r="C5" s="2" t="n"/>
      <c r="D5" s="3" t="n"/>
      <c r="E5" s="4" t="n"/>
      <c r="F5" s="5">
        <f>IF(OR(D5="",E5=""),"",D5*E5)</f>
        <v/>
      </c>
      <c r="G5" s="3" t="n"/>
      <c r="H5" s="5">
        <f>IF(OR(E5="",G5=""),"",E5*G5)</f>
        <v/>
      </c>
      <c r="I5" s="5">
        <f>IF(OR(F5="",H5=""),"",H5-F5)</f>
        <v/>
      </c>
      <c r="J5" s="6">
        <f>IF(OR(F5="",F5=0,H5=""),"",I5/F5)</f>
        <v/>
      </c>
      <c r="K5" s="2" t="n"/>
    </row>
    <row r="6">
      <c r="A6" s="2" t="n"/>
      <c r="B6" s="2" t="n"/>
      <c r="C6" s="2" t="n"/>
      <c r="D6" s="3" t="n"/>
      <c r="E6" s="4" t="n"/>
      <c r="F6" s="5">
        <f>IF(OR(D6="",E6=""),"",D6*E6)</f>
        <v/>
      </c>
      <c r="G6" s="3" t="n"/>
      <c r="H6" s="5">
        <f>IF(OR(E6="",G6=""),"",E6*G6)</f>
        <v/>
      </c>
      <c r="I6" s="5">
        <f>IF(OR(F6="",H6=""),"",H6-F6)</f>
        <v/>
      </c>
      <c r="J6" s="6">
        <f>IF(OR(F6="",F6=0,H6=""),"",I6/F6)</f>
        <v/>
      </c>
      <c r="K6" s="2" t="n"/>
    </row>
    <row r="7">
      <c r="A7" s="2" t="n"/>
      <c r="B7" s="2" t="n"/>
      <c r="C7" s="2" t="n"/>
      <c r="D7" s="3" t="n"/>
      <c r="E7" s="4" t="n"/>
      <c r="F7" s="5">
        <f>IF(OR(D7="",E7=""),"",D7*E7)</f>
        <v/>
      </c>
      <c r="G7" s="3" t="n"/>
      <c r="H7" s="5">
        <f>IF(OR(E7="",G7=""),"",E7*G7)</f>
        <v/>
      </c>
      <c r="I7" s="5">
        <f>IF(OR(F7="",H7=""),"",H7-F7)</f>
        <v/>
      </c>
      <c r="J7" s="6">
        <f>IF(OR(F7="",F7=0,H7=""),"",I7/F7)</f>
        <v/>
      </c>
      <c r="K7" s="2" t="n"/>
    </row>
    <row r="8">
      <c r="A8" s="2" t="n"/>
      <c r="B8" s="2" t="n"/>
      <c r="C8" s="2" t="n"/>
      <c r="D8" s="3" t="n"/>
      <c r="E8" s="4" t="n"/>
      <c r="F8" s="5">
        <f>IF(OR(D8="",E8=""),"",D8*E8)</f>
        <v/>
      </c>
      <c r="G8" s="3" t="n"/>
      <c r="H8" s="5">
        <f>IF(OR(E8="",G8=""),"",E8*G8)</f>
        <v/>
      </c>
      <c r="I8" s="5">
        <f>IF(OR(F8="",H8=""),"",H8-F8)</f>
        <v/>
      </c>
      <c r="J8" s="6">
        <f>IF(OR(F8="",F8=0,H8=""),"",I8/F8)</f>
        <v/>
      </c>
      <c r="K8" s="2" t="n"/>
    </row>
    <row r="9">
      <c r="A9" s="2" t="n"/>
      <c r="B9" s="2" t="n"/>
      <c r="C9" s="2" t="n"/>
      <c r="D9" s="3" t="n"/>
      <c r="E9" s="4" t="n"/>
      <c r="F9" s="5">
        <f>IF(OR(D9="",E9=""),"",D9*E9)</f>
        <v/>
      </c>
      <c r="G9" s="3" t="n"/>
      <c r="H9" s="5">
        <f>IF(OR(E9="",G9=""),"",E9*G9)</f>
        <v/>
      </c>
      <c r="I9" s="5">
        <f>IF(OR(F9="",H9=""),"",H9-F9)</f>
        <v/>
      </c>
      <c r="J9" s="6">
        <f>IF(OR(F9="",F9=0,H9=""),"",I9/F9)</f>
        <v/>
      </c>
      <c r="K9" s="2" t="n"/>
    </row>
    <row r="10">
      <c r="A10" s="2" t="n"/>
      <c r="B10" s="2" t="n"/>
      <c r="C10" s="2" t="n"/>
      <c r="D10" s="3" t="n"/>
      <c r="E10" s="4" t="n"/>
      <c r="F10" s="5">
        <f>IF(OR(D10="",E10=""),"",D10*E10)</f>
        <v/>
      </c>
      <c r="G10" s="3" t="n"/>
      <c r="H10" s="5">
        <f>IF(OR(E10="",G10=""),"",E10*G10)</f>
        <v/>
      </c>
      <c r="I10" s="5">
        <f>IF(OR(F10="",H10=""),"",H10-F10)</f>
        <v/>
      </c>
      <c r="J10" s="6">
        <f>IF(OR(F10="",F10=0,H10=""),"",I10/F10)</f>
        <v/>
      </c>
      <c r="K10" s="2" t="n"/>
    </row>
    <row r="11">
      <c r="A11" s="2" t="n"/>
      <c r="B11" s="2" t="n"/>
      <c r="C11" s="2" t="n"/>
      <c r="D11" s="3" t="n"/>
      <c r="E11" s="4" t="n"/>
      <c r="F11" s="5">
        <f>IF(OR(D11="",E11=""),"",D11*E11)</f>
        <v/>
      </c>
      <c r="G11" s="3" t="n"/>
      <c r="H11" s="5">
        <f>IF(OR(E11="",G11=""),"",E11*G11)</f>
        <v/>
      </c>
      <c r="I11" s="5">
        <f>IF(OR(F11="",H11=""),"",H11-F11)</f>
        <v/>
      </c>
      <c r="J11" s="6">
        <f>IF(OR(F11="",F11=0,H11=""),"",I11/F11)</f>
        <v/>
      </c>
      <c r="K11" s="2" t="n"/>
    </row>
    <row r="12">
      <c r="A12" s="2" t="n"/>
      <c r="B12" s="2" t="n"/>
      <c r="C12" s="2" t="n"/>
      <c r="D12" s="3" t="n"/>
      <c r="E12" s="4" t="n"/>
      <c r="F12" s="5">
        <f>IF(OR(D12="",E12=""),"",D12*E12)</f>
        <v/>
      </c>
      <c r="G12" s="3" t="n"/>
      <c r="H12" s="5">
        <f>IF(OR(E12="",G12=""),"",E12*G12)</f>
        <v/>
      </c>
      <c r="I12" s="5">
        <f>IF(OR(F12="",H12=""),"",H12-F12)</f>
        <v/>
      </c>
      <c r="J12" s="6">
        <f>IF(OR(F12="",F12=0,H12=""),"",I12/F12)</f>
        <v/>
      </c>
      <c r="K12" s="2" t="n"/>
    </row>
    <row r="13">
      <c r="A13" s="2" t="n"/>
      <c r="B13" s="2" t="n"/>
      <c r="C13" s="2" t="n"/>
      <c r="D13" s="3" t="n"/>
      <c r="E13" s="4" t="n"/>
      <c r="F13" s="5">
        <f>IF(OR(D13="",E13=""),"",D13*E13)</f>
        <v/>
      </c>
      <c r="G13" s="3" t="n"/>
      <c r="H13" s="5">
        <f>IF(OR(E13="",G13=""),"",E13*G13)</f>
        <v/>
      </c>
      <c r="I13" s="5">
        <f>IF(OR(F13="",H13=""),"",H13-F13)</f>
        <v/>
      </c>
      <c r="J13" s="6">
        <f>IF(OR(F13="",F13=0,H13=""),"",I13/F13)</f>
        <v/>
      </c>
      <c r="K13" s="2" t="n"/>
    </row>
    <row r="14">
      <c r="A14" s="7" t="n"/>
      <c r="B14" s="7" t="n"/>
      <c r="C14" s="7" t="n"/>
      <c r="D14" s="8" t="n"/>
      <c r="E14" s="8" t="n"/>
      <c r="F14" s="9">
        <f>SUM(F2:F13)</f>
        <v/>
      </c>
      <c r="G14" s="8" t="n"/>
      <c r="H14" s="9">
        <f>SUM(H2:H13)</f>
        <v/>
      </c>
      <c r="I14" s="9">
        <f>SUM(I2:I13)</f>
        <v/>
      </c>
      <c r="J14" s="10">
        <f>IF(OR(F14="",F14=0),"",I14/F14)</f>
        <v/>
      </c>
      <c r="K14" s="7" t="n"/>
    </row>
  </sheetData>
  <conditionalFormatting sqref="I2:I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13">
    <cfRule type="cellIs" priority="3" operator="greaterThan" dxfId="0">
      <formula>0</formula>
    </cfRule>
    <cfRule type="cellIs" priority="4" operator="lessThan" dxfId="1">
      <formula>0</formula>
    </cfRule>
  </conditionalFormatting>
  <dataValidations count="1">
    <dataValidation sqref="C2:C13" showDropDown="0" showInputMessage="0" showErrorMessage="0" allowBlank="1" type="list">
      <formula1>"红利ETF,国债ETF,股票,可转债,其他"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11" customWidth="1" min="5" max="5"/>
    <col width="9" customWidth="1" min="6" max="6"/>
    <col width="14" customWidth="1" min="7" max="7"/>
    <col width="9" customWidth="1" min="8" max="8"/>
    <col width="16" customWidth="1" min="9" max="9"/>
    <col width="22" customWidth="1" min="10" max="10"/>
    <col width="18" customWidth="1" min="11" max="11"/>
  </cols>
  <sheetData>
    <row r="1" ht="28" customHeight="1">
      <c r="A1" s="1" t="inlineStr">
        <is>
          <t>日期</t>
        </is>
      </c>
      <c r="B1" s="1" t="inlineStr">
        <is>
          <t>操作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价格(元)</t>
        </is>
      </c>
      <c r="F1" s="1" t="inlineStr">
        <is>
          <t>份额</t>
        </is>
      </c>
      <c r="G1" s="1" t="inlineStr">
        <is>
          <t>成交金额(元)</t>
        </is>
      </c>
      <c r="H1" s="1" t="inlineStr">
        <is>
          <t>费用(元)</t>
        </is>
      </c>
      <c r="I1" s="1" t="inlineStr">
        <is>
          <t>实际支出/收入(元)</t>
        </is>
      </c>
      <c r="J1" s="1" t="inlineStr">
        <is>
          <t>策略依据</t>
        </is>
      </c>
      <c r="K1" s="1" t="inlineStr">
        <is>
          <t>备注</t>
        </is>
      </c>
    </row>
    <row r="2">
      <c r="A2" s="18" t="n"/>
      <c r="B2" s="2" t="n"/>
      <c r="C2" s="2" t="n"/>
      <c r="D2" s="2" t="n"/>
      <c r="E2" s="3" t="n"/>
      <c r="F2" s="4" t="n"/>
      <c r="G2" s="5">
        <f>IF(OR(E2="",F2=""),"",E2*F2)</f>
        <v/>
      </c>
      <c r="H2" s="12" t="n"/>
      <c r="I2" s="5">
        <f>IF(G2="","",IF(B2="买入",G2+IF(H2="",0,H2),G2-IF(H2="",0,H2)))</f>
        <v/>
      </c>
      <c r="J2" s="2" t="n"/>
      <c r="K2" s="2" t="n"/>
    </row>
    <row r="3">
      <c r="A3" s="18" t="n"/>
      <c r="B3" s="2" t="n"/>
      <c r="C3" s="2" t="n"/>
      <c r="D3" s="2" t="n"/>
      <c r="E3" s="3" t="n"/>
      <c r="F3" s="4" t="n"/>
      <c r="G3" s="5">
        <f>IF(OR(E3="",F3=""),"",E3*F3)</f>
        <v/>
      </c>
      <c r="H3" s="12" t="n"/>
      <c r="I3" s="5">
        <f>IF(G3="","",IF(B3="买入",G3+IF(H3="",0,H3),G3-IF(H3="",0,H3)))</f>
        <v/>
      </c>
      <c r="J3" s="2" t="n"/>
      <c r="K3" s="2" t="n"/>
    </row>
    <row r="4">
      <c r="A4" s="18" t="n"/>
      <c r="B4" s="2" t="n"/>
      <c r="C4" s="2" t="n"/>
      <c r="D4" s="2" t="n"/>
      <c r="E4" s="3" t="n"/>
      <c r="F4" s="4" t="n"/>
      <c r="G4" s="5">
        <f>IF(OR(E4="",F4=""),"",E4*F4)</f>
        <v/>
      </c>
      <c r="H4" s="12" t="n"/>
      <c r="I4" s="5">
        <f>IF(G4="","",IF(B4="买入",G4+IF(H4="",0,H4),G4-IF(H4="",0,H4)))</f>
        <v/>
      </c>
      <c r="J4" s="2" t="n"/>
      <c r="K4" s="2" t="n"/>
    </row>
    <row r="5">
      <c r="A5" s="18" t="n"/>
      <c r="B5" s="2" t="n"/>
      <c r="C5" s="2" t="n"/>
      <c r="D5" s="2" t="n"/>
      <c r="E5" s="3" t="n"/>
      <c r="F5" s="4" t="n"/>
      <c r="G5" s="5">
        <f>IF(OR(E5="",F5=""),"",E5*F5)</f>
        <v/>
      </c>
      <c r="H5" s="12" t="n"/>
      <c r="I5" s="5">
        <f>IF(G5="","",IF(B5="买入",G5+IF(H5="",0,H5),G5-IF(H5="",0,H5)))</f>
        <v/>
      </c>
      <c r="J5" s="2" t="n"/>
      <c r="K5" s="2" t="n"/>
    </row>
    <row r="6">
      <c r="A6" s="18" t="n"/>
      <c r="B6" s="2" t="n"/>
      <c r="C6" s="2" t="n"/>
      <c r="D6" s="2" t="n"/>
      <c r="E6" s="3" t="n"/>
      <c r="F6" s="4" t="n"/>
      <c r="G6" s="5">
        <f>IF(OR(E6="",F6=""),"",E6*F6)</f>
        <v/>
      </c>
      <c r="H6" s="12" t="n"/>
      <c r="I6" s="5">
        <f>IF(G6="","",IF(B6="买入",G6+IF(H6="",0,H6),G6-IF(H6="",0,H6)))</f>
        <v/>
      </c>
      <c r="J6" s="2" t="n"/>
      <c r="K6" s="2" t="n"/>
    </row>
    <row r="7">
      <c r="A7" s="18" t="n"/>
      <c r="B7" s="2" t="n"/>
      <c r="C7" s="2" t="n"/>
      <c r="D7" s="2" t="n"/>
      <c r="E7" s="3" t="n"/>
      <c r="F7" s="4" t="n"/>
      <c r="G7" s="5">
        <f>IF(OR(E7="",F7=""),"",E7*F7)</f>
        <v/>
      </c>
      <c r="H7" s="12" t="n"/>
      <c r="I7" s="5">
        <f>IF(G7="","",IF(B7="买入",G7+IF(H7="",0,H7),G7-IF(H7="",0,H7)))</f>
        <v/>
      </c>
      <c r="J7" s="2" t="n"/>
      <c r="K7" s="2" t="n"/>
    </row>
    <row r="8">
      <c r="A8" s="18" t="n"/>
      <c r="B8" s="2" t="n"/>
      <c r="C8" s="2" t="n"/>
      <c r="D8" s="2" t="n"/>
      <c r="E8" s="3" t="n"/>
      <c r="F8" s="4" t="n"/>
      <c r="G8" s="5">
        <f>IF(OR(E8="",F8=""),"",E8*F8)</f>
        <v/>
      </c>
      <c r="H8" s="12" t="n"/>
      <c r="I8" s="5">
        <f>IF(G8="","",IF(B8="买入",G8+IF(H8="",0,H8),G8-IF(H8="",0,H8)))</f>
        <v/>
      </c>
      <c r="J8" s="2" t="n"/>
      <c r="K8" s="2" t="n"/>
    </row>
    <row r="9">
      <c r="A9" s="18" t="n"/>
      <c r="B9" s="2" t="n"/>
      <c r="C9" s="2" t="n"/>
      <c r="D9" s="2" t="n"/>
      <c r="E9" s="3" t="n"/>
      <c r="F9" s="4" t="n"/>
      <c r="G9" s="5">
        <f>IF(OR(E9="",F9=""),"",E9*F9)</f>
        <v/>
      </c>
      <c r="H9" s="12" t="n"/>
      <c r="I9" s="5">
        <f>IF(G9="","",IF(B9="买入",G9+IF(H9="",0,H9),G9-IF(H9="",0,H9)))</f>
        <v/>
      </c>
      <c r="J9" s="2" t="n"/>
      <c r="K9" s="2" t="n"/>
    </row>
    <row r="10">
      <c r="A10" s="18" t="n"/>
      <c r="B10" s="2" t="n"/>
      <c r="C10" s="2" t="n"/>
      <c r="D10" s="2" t="n"/>
      <c r="E10" s="3" t="n"/>
      <c r="F10" s="4" t="n"/>
      <c r="G10" s="5">
        <f>IF(OR(E10="",F10=""),"",E10*F10)</f>
        <v/>
      </c>
      <c r="H10" s="12" t="n"/>
      <c r="I10" s="5">
        <f>IF(G10="","",IF(B10="买入",G10+IF(H10="",0,H10),G10-IF(H10="",0,H10)))</f>
        <v/>
      </c>
      <c r="J10" s="2" t="n"/>
      <c r="K10" s="2" t="n"/>
    </row>
    <row r="11">
      <c r="A11" s="18" t="n"/>
      <c r="B11" s="2" t="n"/>
      <c r="C11" s="2" t="n"/>
      <c r="D11" s="2" t="n"/>
      <c r="E11" s="3" t="n"/>
      <c r="F11" s="4" t="n"/>
      <c r="G11" s="5">
        <f>IF(OR(E11="",F11=""),"",E11*F11)</f>
        <v/>
      </c>
      <c r="H11" s="12" t="n"/>
      <c r="I11" s="5">
        <f>IF(G11="","",IF(B11="买入",G11+IF(H11="",0,H11),G11-IF(H11="",0,H11)))</f>
        <v/>
      </c>
      <c r="J11" s="2" t="n"/>
      <c r="K11" s="2" t="n"/>
    </row>
    <row r="12">
      <c r="A12" s="18" t="n"/>
      <c r="B12" s="2" t="n"/>
      <c r="C12" s="2" t="n"/>
      <c r="D12" s="2" t="n"/>
      <c r="E12" s="3" t="n"/>
      <c r="F12" s="4" t="n"/>
      <c r="G12" s="5">
        <f>IF(OR(E12="",F12=""),"",E12*F12)</f>
        <v/>
      </c>
      <c r="H12" s="12" t="n"/>
      <c r="I12" s="5">
        <f>IF(G12="","",IF(B12="买入",G12+IF(H12="",0,H12),G12-IF(H12="",0,H12)))</f>
        <v/>
      </c>
      <c r="J12" s="2" t="n"/>
      <c r="K12" s="2" t="n"/>
    </row>
    <row r="13">
      <c r="A13" s="18" t="n"/>
      <c r="B13" s="2" t="n"/>
      <c r="C13" s="2" t="n"/>
      <c r="D13" s="2" t="n"/>
      <c r="E13" s="3" t="n"/>
      <c r="F13" s="4" t="n"/>
      <c r="G13" s="5">
        <f>IF(OR(E13="",F13=""),"",E13*F13)</f>
        <v/>
      </c>
      <c r="H13" s="12" t="n"/>
      <c r="I13" s="5">
        <f>IF(G13="","",IF(B13="买入",G13+IF(H13="",0,H13),G13-IF(H13="",0,H13)))</f>
        <v/>
      </c>
      <c r="J13" s="2" t="n"/>
      <c r="K13" s="2" t="n"/>
    </row>
  </sheetData>
  <autoFilter ref="A1:K13"/>
  <dataValidations count="1">
    <dataValidation sqref="B2:B13" showDropDown="0" showInputMessage="0" showErrorMessage="0" allowBlank="1" type="list">
      <formula1>"买入,卖出,分红"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5" customWidth="1" min="4" max="4"/>
    <col width="13" customWidth="1" min="5" max="5"/>
    <col width="11" customWidth="1" min="6" max="6"/>
    <col width="14" customWidth="1" min="7" max="7"/>
    <col width="26" customWidth="1" min="8" max="8"/>
    <col width="16" customWidth="1" min="9" max="9"/>
  </cols>
  <sheetData>
    <row r="1" ht="28" customHeight="1">
      <c r="A1" s="1" t="inlineStr">
        <is>
          <t>年月</t>
        </is>
      </c>
      <c r="B1" s="1" t="inlineStr">
        <is>
          <t>当月投入(元)</t>
        </is>
      </c>
      <c r="C1" s="1" t="inlineStr">
        <is>
          <t>累计投入(元)</t>
        </is>
      </c>
      <c r="D1" s="1" t="inlineStr">
        <is>
          <t>期末总资产(元)</t>
        </is>
      </c>
      <c r="E1" s="1" t="inlineStr">
        <is>
          <t>当月盈亏(元)</t>
        </is>
      </c>
      <c r="F1" s="1" t="inlineStr">
        <is>
          <t>累计收益率</t>
        </is>
      </c>
      <c r="G1" s="1" t="inlineStr">
        <is>
          <t>月末股债利差(%)</t>
        </is>
      </c>
      <c r="H1" s="1" t="inlineStr">
        <is>
          <t>操作摘要</t>
        </is>
      </c>
      <c r="I1" s="1" t="inlineStr">
        <is>
          <t>备注</t>
        </is>
      </c>
    </row>
    <row r="2">
      <c r="A2" s="2" t="n"/>
      <c r="B2" s="12" t="n"/>
      <c r="C2" s="5">
        <f>IF(B2="","",B2)</f>
        <v/>
      </c>
      <c r="D2" s="12" t="n"/>
      <c r="E2" s="5">
        <f>IF(D2="","",D2-N(B2))</f>
        <v/>
      </c>
      <c r="F2" s="6">
        <f>IF(OR(C2="",C2=0,D2=""),"",(D2-C2)/C2)</f>
        <v/>
      </c>
      <c r="G2" s="13" t="n"/>
      <c r="H2" s="2" t="n"/>
      <c r="I2" s="2" t="n"/>
    </row>
    <row r="3">
      <c r="A3" s="2" t="n"/>
      <c r="B3" s="12" t="n"/>
      <c r="C3" s="5">
        <f>IF(AND(B3="",C2=""),"",N(C2)+N(B3))</f>
        <v/>
      </c>
      <c r="D3" s="12" t="n"/>
      <c r="E3" s="5">
        <f>IF(OR(D3="",D2=""),"",D3-D2-N(B3))</f>
        <v/>
      </c>
      <c r="F3" s="6">
        <f>IF(OR(C3="",C3=0,D3=""),"",(D3-C3)/C3)</f>
        <v/>
      </c>
      <c r="G3" s="13" t="n"/>
      <c r="H3" s="2" t="n"/>
      <c r="I3" s="2" t="n"/>
    </row>
    <row r="4">
      <c r="A4" s="2" t="n"/>
      <c r="B4" s="12" t="n"/>
      <c r="C4" s="5">
        <f>IF(AND(B4="",C3=""),"",N(C3)+N(B4))</f>
        <v/>
      </c>
      <c r="D4" s="12" t="n"/>
      <c r="E4" s="5">
        <f>IF(OR(D4="",D3=""),"",D4-D3-N(B4))</f>
        <v/>
      </c>
      <c r="F4" s="6">
        <f>IF(OR(C4="",C4=0,D4=""),"",(D4-C4)/C4)</f>
        <v/>
      </c>
      <c r="G4" s="13" t="n"/>
      <c r="H4" s="2" t="n"/>
      <c r="I4" s="2" t="n"/>
    </row>
    <row r="5">
      <c r="A5" s="2" t="n"/>
      <c r="B5" s="12" t="n"/>
      <c r="C5" s="5">
        <f>IF(AND(B5="",C4=""),"",N(C4)+N(B5))</f>
        <v/>
      </c>
      <c r="D5" s="12" t="n"/>
      <c r="E5" s="5">
        <f>IF(OR(D5="",D4=""),"",D5-D4-N(B5))</f>
        <v/>
      </c>
      <c r="F5" s="6">
        <f>IF(OR(C5="",C5=0,D5=""),"",(D5-C5)/C5)</f>
        <v/>
      </c>
      <c r="G5" s="13" t="n"/>
      <c r="H5" s="2" t="n"/>
      <c r="I5" s="2" t="n"/>
    </row>
    <row r="6">
      <c r="A6" s="2" t="n"/>
      <c r="B6" s="12" t="n"/>
      <c r="C6" s="5">
        <f>IF(AND(B6="",C5=""),"",N(C5)+N(B6))</f>
        <v/>
      </c>
      <c r="D6" s="12" t="n"/>
      <c r="E6" s="5">
        <f>IF(OR(D6="",D5=""),"",D6-D5-N(B6))</f>
        <v/>
      </c>
      <c r="F6" s="6">
        <f>IF(OR(C6="",C6=0,D6=""),"",(D6-C6)/C6)</f>
        <v/>
      </c>
      <c r="G6" s="13" t="n"/>
      <c r="H6" s="2" t="n"/>
      <c r="I6" s="2" t="n"/>
    </row>
    <row r="7">
      <c r="A7" s="2" t="n"/>
      <c r="B7" s="12" t="n"/>
      <c r="C7" s="5">
        <f>IF(AND(B7="",C6=""),"",N(C6)+N(B7))</f>
        <v/>
      </c>
      <c r="D7" s="12" t="n"/>
      <c r="E7" s="5">
        <f>IF(OR(D7="",D6=""),"",D7-D6-N(B7))</f>
        <v/>
      </c>
      <c r="F7" s="6">
        <f>IF(OR(C7="",C7=0,D7=""),"",(D7-C7)/C7)</f>
        <v/>
      </c>
      <c r="G7" s="13" t="n"/>
      <c r="H7" s="2" t="n"/>
      <c r="I7" s="2" t="n"/>
    </row>
  </sheetData>
  <conditionalFormatting sqref="E2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7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4" t="inlineStr">
        <is>
          <t>股债利差策略卡（规则固化，防情绪化操作）</t>
        </is>
      </c>
    </row>
    <row r="2">
      <c r="A2" s="15" t="inlineStr">
        <is>
          <t>一、核心信号：沪深300股债利差 = 1/沪深300市盈率 − 10年期国债收益率</t>
        </is>
      </c>
    </row>
    <row r="3">
      <c r="A3" s="16" t="inlineStr">
        <is>
          <t>信号区间</t>
        </is>
      </c>
      <c r="B3" s="17" t="inlineStr">
        <is>
          <t>操作动作</t>
        </is>
      </c>
    </row>
    <row r="4">
      <c r="A4" s="16" t="inlineStr">
        <is>
          <t>&gt; 6%</t>
        </is>
      </c>
      <c r="B4" s="17" t="inlineStr">
        <is>
          <t>每月定投红利ETF——挑托管费+管理费最低的前五之一，优先每季度或半年分红一次的产品（实打实的现金流）。资产账面被套不慌，持续定投拉低成本</t>
        </is>
      </c>
    </row>
    <row r="5">
      <c r="A5" s="16" t="inlineStr">
        <is>
          <t>4% ~ 6%</t>
        </is>
      </c>
      <c r="B5" s="17" t="inlineStr">
        <is>
          <t>持有观望：按原计划定投不停手，但不加仓</t>
        </is>
      </c>
    </row>
    <row r="6">
      <c r="A6" s="16" t="inlineStr">
        <is>
          <t>&lt; 4%</t>
        </is>
      </c>
      <c r="B6" s="17" t="inlineStr">
        <is>
          <t>减持一部分权益仓位，换入国债ETF（泡沫区，先落袋）</t>
        </is>
      </c>
    </row>
    <row r="8">
      <c r="A8" s="15" t="inlineStr">
        <is>
          <t>二、交叉验证：巴菲特指标 = A股总市值 ÷ 最近12个月GDP</t>
        </is>
      </c>
    </row>
    <row r="9">
      <c r="A9" s="16" t="inlineStr">
        <is>
          <t>&lt; 80%</t>
        </is>
      </c>
      <c r="B9" s="17" t="inlineStr">
        <is>
          <t>市场低估——配合股债利差，积极定投</t>
        </is>
      </c>
    </row>
    <row r="10">
      <c r="A10" s="16" t="inlineStr">
        <is>
          <t>80% ~ 100%</t>
        </is>
      </c>
      <c r="B10" s="17" t="inlineStr">
        <is>
          <t>中性——按信号执行</t>
        </is>
      </c>
    </row>
    <row r="11">
      <c r="A11" s="16" t="inlineStr">
        <is>
          <t>&gt; 100%</t>
        </is>
      </c>
      <c r="B11" s="17" t="inlineStr">
        <is>
          <t>市场偏贵——谨慎加仓，作为减仓的辅助确认信号</t>
        </is>
      </c>
    </row>
    <row r="13">
      <c r="A13" s="15" t="inlineStr">
        <is>
          <t>三、执行纪律</t>
        </is>
      </c>
    </row>
    <row r="14">
      <c r="A14" s="16" t="inlineStr">
        <is>
          <t>纪律1</t>
        </is>
      </c>
      <c r="B14" s="17" t="inlineStr">
        <is>
          <t>只看数据不看情绪：每次操作前，先看当日简报的利差读数，按区间动作，不自作主张</t>
        </is>
      </c>
    </row>
    <row r="15">
      <c r="A15" s="16" t="inlineStr">
        <is>
          <t>纪律2</t>
        </is>
      </c>
      <c r="B15" s="17" t="inlineStr">
        <is>
          <t>每次买卖当天填【交易记录】，写清策略依据——月度复盘用</t>
        </is>
      </c>
    </row>
    <row r="16">
      <c r="A16" s="16" t="inlineStr">
        <is>
          <t>纪律3</t>
        </is>
      </c>
      <c r="B16" s="17" t="inlineStr">
        <is>
          <t>每月最后一个交易日：更新【持仓】的最新价，并在【净值月度】记一行</t>
        </is>
      </c>
    </row>
    <row r="17">
      <c r="A17" s="16" t="inlineStr">
        <is>
          <t>纪律4</t>
        </is>
      </c>
      <c r="B17" s="17" t="inlineStr">
        <is>
          <t>本金在低位高股息介入，通过定投保证名义价值不亏损，泡沫产生时卖出；老老实实收分红</t>
        </is>
      </c>
    </row>
    <row r="19">
      <c r="A19" s="15" t="inlineStr">
        <is>
          <t>四、工作台联动</t>
        </is>
      </c>
    </row>
    <row r="20">
      <c r="A20" s="16" t="inlineStr">
        <is>
          <t>每日简报</t>
        </is>
      </c>
      <c r="B20" s="17" t="inlineStr">
        <is>
          <t>AI 每个交易日 17:35 自动拉取沪深300估值与国债收益率 → 计算股债利差 → 判定区间 → 生成简报（WorkBuddy 自动化，无需手动查询）</t>
        </is>
      </c>
    </row>
    <row r="21">
      <c r="A21" s="16" t="inlineStr">
        <is>
          <t>数据来源</t>
        </is>
      </c>
      <c r="B21" s="17" t="inlineStr">
        <is>
          <t>大智慧MCP（估值/行情）＋ WorkBuddy 本地金融数据技能</t>
        </is>
      </c>
    </row>
    <row r="22">
      <c r="A22" s="16" t="inlineStr">
        <is>
          <t>月度复盘</t>
        </is>
      </c>
      <c r="B22" s="17" t="inlineStr">
        <is>
          <t>每月让 AI 汇总【交易记录】与【净值月度】，输出执行纪律评分与复利进度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投资台账</dc:title>
  <dcterms:created xsi:type="dcterms:W3CDTF">2026-10-11T09:56:26Z</dcterms:created>
  <dcterms:modified xsi:type="dcterms:W3CDTF">2026-10-11T14:30:03Z</dcterms:modified>
</cp:coreProperties>
</file>